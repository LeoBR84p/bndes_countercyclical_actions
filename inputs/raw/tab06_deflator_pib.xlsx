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\inputs\"/>
    </mc:Choice>
  </mc:AlternateContent>
  <xr:revisionPtr revIDLastSave="0" documentId="8_{609ED6DC-64BB-4CF9-9284-5C8D46242B0C}" xr6:coauthVersionLast="47" xr6:coauthVersionMax="47" xr10:uidLastSave="{00000000-0000-0000-0000-000000000000}"/>
  <bookViews>
    <workbookView xWindow="-108" yWindow="-108" windowWidth="22188" windowHeight="13176" xr2:uid="{17A6DF33-6B46-4821-93EC-3C8FB98E6DE5}"/>
  </bookViews>
  <sheets>
    <sheet name="Plan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G30" i="2"/>
  <c r="H26" i="2"/>
  <c r="D26" i="2"/>
  <c r="D23" i="2"/>
  <c r="G21" i="2"/>
  <c r="I22" i="2"/>
  <c r="E20" i="2"/>
  <c r="H20" i="2"/>
  <c r="G19" i="2"/>
  <c r="H17" i="2"/>
  <c r="I17" i="2"/>
  <c r="G17" i="2"/>
  <c r="I18" i="2"/>
  <c r="G15" i="2"/>
  <c r="E14" i="2"/>
  <c r="E13" i="2"/>
  <c r="G13" i="2"/>
  <c r="H11" i="2"/>
  <c r="G11" i="2"/>
  <c r="I12" i="2"/>
  <c r="G10" i="2"/>
  <c r="H9" i="2"/>
  <c r="G9" i="2"/>
  <c r="H8" i="2"/>
  <c r="I8" i="2"/>
  <c r="G8" i="2"/>
  <c r="H29" i="2"/>
  <c r="I29" i="2"/>
  <c r="D29" i="2"/>
  <c r="G29" i="2"/>
  <c r="G27" i="2"/>
  <c r="H25" i="2"/>
  <c r="H23" i="2"/>
  <c r="G22" i="2"/>
  <c r="H19" i="2"/>
  <c r="I19" i="2"/>
  <c r="H18" i="2"/>
  <c r="H10" i="2"/>
  <c r="I10" i="2"/>
  <c r="H7" i="2"/>
  <c r="E7" i="2"/>
  <c r="E28" i="2"/>
  <c r="G20" i="2"/>
  <c r="D28" i="2"/>
  <c r="E25" i="2"/>
  <c r="G23" i="2"/>
  <c r="E18" i="2"/>
  <c r="E23" i="2"/>
  <c r="E30" i="2"/>
  <c r="G18" i="2"/>
  <c r="I23" i="2"/>
  <c r="I20" i="2"/>
  <c r="E15" i="2"/>
  <c r="G28" i="2"/>
  <c r="G14" i="2"/>
  <c r="G16" i="2"/>
  <c r="E19" i="2"/>
  <c r="H28" i="2"/>
  <c r="I28" i="2"/>
  <c r="G7" i="2"/>
  <c r="D17" i="2"/>
  <c r="H15" i="2"/>
  <c r="I15" i="2"/>
  <c r="H12" i="2"/>
  <c r="E12" i="2"/>
  <c r="D10" i="2"/>
  <c r="E17" i="2"/>
  <c r="D13" i="2"/>
  <c r="D21" i="2"/>
  <c r="H21" i="2"/>
  <c r="I21" i="2"/>
  <c r="E21" i="2"/>
  <c r="E24" i="2"/>
  <c r="D25" i="2"/>
  <c r="G24" i="2"/>
  <c r="I25" i="2"/>
  <c r="E26" i="2"/>
  <c r="G26" i="2"/>
  <c r="I27" i="2"/>
  <c r="H27" i="2"/>
  <c r="D27" i="2"/>
  <c r="D14" i="2"/>
  <c r="D30" i="2"/>
  <c r="E29" i="2"/>
  <c r="H13" i="2"/>
  <c r="I13" i="2"/>
  <c r="D22" i="2"/>
  <c r="H22" i="2"/>
  <c r="E22" i="2"/>
  <c r="H24" i="2"/>
  <c r="I24" i="2"/>
  <c r="D16" i="2"/>
  <c r="H16" i="2"/>
  <c r="I16" i="2"/>
  <c r="E16" i="2"/>
  <c r="E27" i="2"/>
  <c r="G12" i="2"/>
  <c r="D18" i="2"/>
  <c r="D19" i="2"/>
  <c r="G25" i="2"/>
  <c r="I26" i="2"/>
  <c r="D20" i="2"/>
  <c r="D24" i="2"/>
  <c r="D15" i="2"/>
  <c r="I9" i="2"/>
  <c r="I11" i="2"/>
  <c r="I30" i="2"/>
  <c r="E8" i="2"/>
  <c r="D9" i="2"/>
  <c r="E10" i="2"/>
  <c r="D11" i="2"/>
  <c r="E11" i="2"/>
  <c r="D8" i="2"/>
  <c r="H14" i="2"/>
  <c r="I14" i="2"/>
  <c r="E9" i="2"/>
  <c r="D12" i="2"/>
</calcChain>
</file>

<file path=xl/sharedStrings.xml><?xml version="1.0" encoding="utf-8"?>
<sst xmlns="http://schemas.openxmlformats.org/spreadsheetml/2006/main" count="18" uniqueCount="15">
  <si>
    <t>Ano</t>
  </si>
  <si>
    <t>1 000 000 R$</t>
  </si>
  <si>
    <t>R$</t>
  </si>
  <si>
    <t>Produto Interno Bruto</t>
  </si>
  <si>
    <r>
      <t xml:space="preserve">Produto Interno Bruto </t>
    </r>
    <r>
      <rPr>
        <i/>
        <sz val="6"/>
        <rFont val="Univers 55"/>
        <family val="2"/>
      </rPr>
      <t>per capita</t>
    </r>
  </si>
  <si>
    <t>Variação
em volume 
(%)</t>
  </si>
  <si>
    <t>Deflator
Variação anual 
(%)</t>
  </si>
  <si>
    <t>Valores
correntes</t>
  </si>
  <si>
    <t>Preços do
ano anterior</t>
  </si>
  <si>
    <t>População
residente
1 000 hab. (1) (2)</t>
  </si>
  <si>
    <t xml:space="preserve">Fontes: IBGE, Diretoria de Pesquisas, Coordenação de Contas Nacionais e Coordenação de População e Indicadores Sociais.                                                                                              </t>
  </si>
  <si>
    <r>
      <t xml:space="preserve">Tabela 6 - Produto Interno Bruto, Produto Interno Bruto </t>
    </r>
    <r>
      <rPr>
        <b/>
        <i/>
        <sz val="8"/>
        <rFont val="Univers 45 Light"/>
        <family val="2"/>
      </rPr>
      <t>per capita</t>
    </r>
    <r>
      <rPr>
        <b/>
        <sz val="8"/>
        <rFont val="Univers 45 Light"/>
        <family val="2"/>
      </rPr>
      <t>,</t>
    </r>
  </si>
  <si>
    <t xml:space="preserve">(1) 2010-2022: População projetada para 1º de julho, série revisada. (2) 1996-2009: Retroprojeção da População do Brasil, para o período 1980-2010.  </t>
  </si>
  <si>
    <t>ND</t>
  </si>
  <si>
    <t>população residente e deflator - 1996-2023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</si>
</sst>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2" formatCode="&quot;R$&quot;#,##0_);[Red]\(&quot;R$&quot;#,##0\)"/>
    <numFmt numFmtId="175" formatCode="###\ ###\ ###\ ##0;\(\-\)\ ###\ ###\ ###\ ##0"/>
    <numFmt numFmtId="176" formatCode="###\ ###\ ###\ ##0.00;\(\-\)\ ###\ ###\ ###\ ##0.00"/>
    <numFmt numFmtId="177" formatCode="###\ ###\ ###\ ##0.00\ ;\(\-\)\ ###\ ###\ ###\ ##0.00\ "/>
    <numFmt numFmtId="178" formatCode="#\ ###\ ###\ ###\ "/>
    <numFmt numFmtId="179" formatCode="###\ ###\ ###\ ##0.0\ ;\(\-\)\ ###\ ###\ ###\ ##0.0\ "/>
    <numFmt numFmtId="180" formatCode="##\ ###\ ###\ ##0.00\ ;\(\-\)\ ##\ ###\ ###\ ##0.00\ "/>
  </numFmts>
  <fonts count="12">
    <font>
      <sz val="10"/>
      <name val="Arial"/>
    </font>
    <font>
      <sz val="10"/>
      <name val="Arial"/>
      <family val="2"/>
    </font>
    <font>
      <sz val="6"/>
      <name val="Arial"/>
      <family val="2"/>
    </font>
    <font>
      <sz val="8"/>
      <name val="Univers 55"/>
      <family val="2"/>
    </font>
    <font>
      <b/>
      <sz val="9"/>
      <name val="Univers 55"/>
      <family val="2"/>
    </font>
    <font>
      <sz val="9"/>
      <name val="Univers 55"/>
      <family val="2"/>
    </font>
    <font>
      <b/>
      <sz val="8"/>
      <name val="Univers 45 Light"/>
      <family val="2"/>
    </font>
    <font>
      <sz val="8"/>
      <name val="Univers 45 Light"/>
      <family val="2"/>
    </font>
    <font>
      <sz val="6"/>
      <name val="Univers 55"/>
      <family val="2"/>
    </font>
    <font>
      <i/>
      <sz val="6"/>
      <name val="Univers 55"/>
      <family val="2"/>
    </font>
    <font>
      <sz val="6"/>
      <color indexed="10"/>
      <name val="Univers 55"/>
      <family val="2"/>
    </font>
    <font>
      <b/>
      <i/>
      <sz val="8"/>
      <name val="Univers 45 Ligh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3" fillId="0" borderId="0" xfId="1" applyFont="1" applyFill="1"/>
    <xf numFmtId="49" fontId="4" fillId="0" borderId="0" xfId="1" applyNumberFormat="1" applyFont="1" applyFill="1" applyAlignment="1">
      <alignment horizontal="centerContinuous"/>
    </xf>
    <xf numFmtId="0" fontId="5" fillId="0" borderId="0" xfId="1" applyFont="1" applyFill="1"/>
    <xf numFmtId="0" fontId="3" fillId="0" borderId="0" xfId="1" applyFont="1" applyFill="1" applyBorder="1"/>
    <xf numFmtId="49" fontId="6" fillId="0" borderId="0" xfId="1" applyNumberFormat="1" applyFont="1" applyFill="1" applyAlignment="1">
      <alignment horizontal="centerContinuous"/>
    </xf>
    <xf numFmtId="0" fontId="7" fillId="0" borderId="0" xfId="1" applyFont="1" applyFill="1" applyBorder="1"/>
    <xf numFmtId="0" fontId="8" fillId="0" borderId="1" xfId="1" applyFont="1" applyFill="1" applyBorder="1" applyAlignment="1">
      <alignment horizontal="center" vertical="center" wrapText="1"/>
    </xf>
    <xf numFmtId="0" fontId="8" fillId="0" borderId="0" xfId="1" applyFont="1" applyFill="1"/>
    <xf numFmtId="0" fontId="8" fillId="0" borderId="1" xfId="1" applyFont="1" applyFill="1" applyBorder="1" applyAlignment="1">
      <alignment horizontal="centerContinuous" vertical="center" wrapText="1"/>
    </xf>
    <xf numFmtId="0" fontId="8" fillId="0" borderId="0" xfId="1" applyFont="1" applyFill="1" applyBorder="1" applyAlignment="1">
      <alignment horizontal="left"/>
    </xf>
    <xf numFmtId="178" fontId="8" fillId="0" borderId="0" xfId="1" applyNumberFormat="1" applyFont="1" applyFill="1" applyBorder="1" applyAlignment="1">
      <alignment horizontal="right"/>
    </xf>
    <xf numFmtId="0" fontId="8" fillId="0" borderId="0" xfId="1" applyFont="1" applyFill="1" applyAlignment="1"/>
    <xf numFmtId="0" fontId="8" fillId="0" borderId="2" xfId="1" applyFont="1" applyFill="1" applyBorder="1" applyAlignment="1">
      <alignment horizontal="left"/>
    </xf>
    <xf numFmtId="175" fontId="8" fillId="0" borderId="2" xfId="1" applyNumberFormat="1" applyFont="1" applyFill="1" applyBorder="1" applyAlignment="1">
      <alignment horizontal="right"/>
    </xf>
    <xf numFmtId="176" fontId="8" fillId="0" borderId="2" xfId="1" applyNumberFormat="1" applyFont="1" applyFill="1" applyBorder="1" applyAlignment="1">
      <alignment horizontal="right"/>
    </xf>
    <xf numFmtId="177" fontId="8" fillId="0" borderId="2" xfId="1" applyNumberFormat="1" applyFont="1" applyFill="1" applyBorder="1" applyAlignment="1">
      <alignment horizontal="right"/>
    </xf>
    <xf numFmtId="0" fontId="8" fillId="0" borderId="0" xfId="2" quotePrefix="1" applyFont="1" applyFill="1" applyBorder="1" applyAlignment="1">
      <alignment horizontal="left"/>
    </xf>
    <xf numFmtId="0" fontId="10" fillId="0" borderId="0" xfId="1" applyFont="1" applyFill="1"/>
    <xf numFmtId="179" fontId="8" fillId="0" borderId="0" xfId="1" applyNumberFormat="1" applyFont="1" applyFill="1" applyBorder="1" applyAlignment="1">
      <alignment horizontal="right"/>
    </xf>
    <xf numFmtId="179" fontId="8" fillId="0" borderId="0" xfId="1" applyNumberFormat="1" applyFont="1" applyFill="1" applyAlignment="1"/>
    <xf numFmtId="180" fontId="8" fillId="0" borderId="0" xfId="1" applyNumberFormat="1" applyFont="1" applyFill="1" applyBorder="1" applyAlignment="1">
      <alignment horizontal="right"/>
    </xf>
    <xf numFmtId="49" fontId="4" fillId="0" borderId="0" xfId="1" applyNumberFormat="1" applyFont="1" applyFill="1" applyBorder="1" applyAlignment="1">
      <alignment horizontal="centerContinuous"/>
    </xf>
    <xf numFmtId="0" fontId="8" fillId="0" borderId="0" xfId="1" applyFont="1" applyFill="1" applyBorder="1" applyAlignment="1"/>
    <xf numFmtId="0" fontId="8" fillId="0" borderId="0" xfId="1" applyFont="1" applyFill="1" applyBorder="1"/>
    <xf numFmtId="0" fontId="8" fillId="0" borderId="3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/>
    </xf>
    <xf numFmtId="172" fontId="8" fillId="0" borderId="1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172" fontId="8" fillId="0" borderId="4" xfId="1" applyNumberFormat="1" applyFont="1" applyFill="1" applyBorder="1" applyAlignment="1">
      <alignment horizontal="center" vertical="center"/>
    </xf>
    <xf numFmtId="172" fontId="8" fillId="0" borderId="3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_Tabela05" xfId="1" xr:uid="{26399062-6CBF-4DE7-A049-26BB020067B6}"/>
    <cellStyle name="Normal_Tabelas da Publicação 1998-2002" xfId="2" xr:uid="{7CF3C0D1-F090-4EF9-8B90-67049427046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87B14"/>
      <rgbColor rgb="0069FFFF"/>
      <rgbColor rgb="00CCFFCC"/>
      <rgbColor rgb="00F5C6A0"/>
      <rgbColor rgb="00A6CAF0"/>
      <rgbColor rgb="00CC99CC"/>
      <rgbColor rgb="00CC99FF"/>
      <rgbColor rgb="00FAE0BD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CEC4-168D-4F83-A79F-09D93E2669DE}">
  <dimension ref="A1:I33"/>
  <sheetViews>
    <sheetView showGridLines="0" tabSelected="1" zoomScaleNormal="100" workbookViewId="0"/>
  </sheetViews>
  <sheetFormatPr defaultColWidth="9.88671875" defaultRowHeight="10.199999999999999"/>
  <cols>
    <col min="1" max="1" width="7.6640625" style="1" customWidth="1"/>
    <col min="2" max="8" width="10.44140625" style="1" customWidth="1"/>
    <col min="9" max="9" width="10.44140625" style="4" customWidth="1"/>
    <col min="10" max="16384" width="9.88671875" style="1"/>
  </cols>
  <sheetData>
    <row r="1" spans="1:9" s="3" customFormat="1" ht="12" customHeight="1">
      <c r="A1" s="5" t="s">
        <v>11</v>
      </c>
      <c r="B1" s="2"/>
      <c r="C1" s="2"/>
      <c r="D1" s="2"/>
      <c r="E1" s="2"/>
      <c r="F1" s="2"/>
      <c r="G1" s="2"/>
      <c r="H1" s="2"/>
      <c r="I1" s="22"/>
    </row>
    <row r="2" spans="1:9" s="3" customFormat="1" ht="12" customHeight="1">
      <c r="A2" s="5" t="s">
        <v>14</v>
      </c>
      <c r="B2" s="2"/>
      <c r="C2" s="2"/>
      <c r="D2" s="2"/>
      <c r="E2" s="2"/>
      <c r="F2" s="2"/>
      <c r="G2" s="2"/>
      <c r="H2" s="2"/>
      <c r="I2" s="22"/>
    </row>
    <row r="3" spans="1:9" ht="9" customHeight="1">
      <c r="A3" s="6"/>
      <c r="B3" s="4"/>
      <c r="C3" s="4"/>
      <c r="D3" s="4"/>
      <c r="E3" s="4"/>
      <c r="F3" s="4"/>
      <c r="G3" s="4"/>
      <c r="H3" s="4"/>
    </row>
    <row r="4" spans="1:9" s="8" customFormat="1" ht="15" customHeight="1">
      <c r="A4" s="25" t="s">
        <v>0</v>
      </c>
      <c r="B4" s="27" t="s">
        <v>3</v>
      </c>
      <c r="C4" s="27"/>
      <c r="D4" s="27"/>
      <c r="E4" s="27"/>
      <c r="F4" s="26" t="s">
        <v>9</v>
      </c>
      <c r="G4" s="29" t="s">
        <v>4</v>
      </c>
      <c r="H4" s="30"/>
      <c r="I4" s="30"/>
    </row>
    <row r="5" spans="1:9" s="8" customFormat="1" ht="15" customHeight="1">
      <c r="A5" s="25"/>
      <c r="B5" s="28" t="s">
        <v>1</v>
      </c>
      <c r="C5" s="28"/>
      <c r="D5" s="26" t="s">
        <v>5</v>
      </c>
      <c r="E5" s="26" t="s">
        <v>6</v>
      </c>
      <c r="F5" s="27"/>
      <c r="G5" s="31" t="s">
        <v>2</v>
      </c>
      <c r="H5" s="32"/>
      <c r="I5" s="33" t="s">
        <v>5</v>
      </c>
    </row>
    <row r="6" spans="1:9" s="8" customFormat="1" ht="21" customHeight="1">
      <c r="A6" s="25"/>
      <c r="B6" s="9" t="s">
        <v>7</v>
      </c>
      <c r="C6" s="7" t="s">
        <v>8</v>
      </c>
      <c r="D6" s="26"/>
      <c r="E6" s="26"/>
      <c r="F6" s="27"/>
      <c r="G6" s="7" t="s">
        <v>7</v>
      </c>
      <c r="H6" s="7" t="s">
        <v>8</v>
      </c>
      <c r="I6" s="33"/>
    </row>
    <row r="7" spans="1:9" s="12" customFormat="1" ht="10.199999999999999" customHeight="1">
      <c r="A7" s="10">
        <v>2000</v>
      </c>
      <c r="B7" s="11">
        <v>1199092.07094021</v>
      </c>
      <c r="C7" s="11">
        <v>1135438.6409589238</v>
      </c>
      <c r="D7" s="19">
        <v>4.3899999999999997</v>
      </c>
      <c r="E7" s="20">
        <f t="shared" ref="E7:E15" si="0">(B7/C7*100)-100</f>
        <v>5.6060651527174059</v>
      </c>
      <c r="F7" s="11">
        <v>174696</v>
      </c>
      <c r="G7" s="21">
        <f t="shared" ref="G7:G16" si="1">B7/F7*1000</f>
        <v>6863.878228123197</v>
      </c>
      <c r="H7" s="21">
        <f t="shared" ref="H7:H16" si="2">C7/F7*1000</f>
        <v>6499.5113852573832</v>
      </c>
      <c r="I7" s="19" t="s">
        <v>13</v>
      </c>
    </row>
    <row r="8" spans="1:9" s="12" customFormat="1" ht="10.199999999999999" customHeight="1">
      <c r="A8" s="10">
        <v>2001</v>
      </c>
      <c r="B8" s="11">
        <v>1315755.4678309315</v>
      </c>
      <c r="C8" s="11">
        <v>1215758.2085203498</v>
      </c>
      <c r="D8" s="19">
        <f t="shared" ref="D8:D15" si="3">(C8/B7*100)-100</f>
        <v>1.389896404458085</v>
      </c>
      <c r="E8" s="20">
        <f t="shared" si="0"/>
        <v>8.2250943164335695</v>
      </c>
      <c r="F8" s="11">
        <v>177004</v>
      </c>
      <c r="G8" s="21">
        <f t="shared" si="1"/>
        <v>7433.478722689496</v>
      </c>
      <c r="H8" s="21">
        <f t="shared" si="2"/>
        <v>6868.5352224828239</v>
      </c>
      <c r="I8" s="19">
        <f t="shared" ref="I8:I16" si="4">(H8/G7*100)-100</f>
        <v>6.7847858089109536E-2</v>
      </c>
    </row>
    <row r="9" spans="1:9" s="12" customFormat="1" ht="10.199999999999999" customHeight="1">
      <c r="A9" s="10">
        <v>2002</v>
      </c>
      <c r="B9" s="11">
        <v>1488787.2551583666</v>
      </c>
      <c r="C9" s="11">
        <v>1355931.5591703854</v>
      </c>
      <c r="D9" s="19">
        <f t="shared" si="3"/>
        <v>3.0534618568361651</v>
      </c>
      <c r="E9" s="20">
        <f t="shared" si="0"/>
        <v>9.7981122343127538</v>
      </c>
      <c r="F9" s="11">
        <v>179228</v>
      </c>
      <c r="G9" s="21">
        <f t="shared" si="1"/>
        <v>8306.6666768494142</v>
      </c>
      <c r="H9" s="21">
        <f t="shared" si="2"/>
        <v>7565.4002676500622</v>
      </c>
      <c r="I9" s="19">
        <f t="shared" si="4"/>
        <v>1.7746945929622058</v>
      </c>
    </row>
    <row r="10" spans="1:9" s="12" customFormat="1" ht="10.199999999999999" customHeight="1">
      <c r="A10" s="10">
        <v>2003</v>
      </c>
      <c r="B10" s="11">
        <v>1717950.3964244905</v>
      </c>
      <c r="C10" s="11">
        <v>1505771.7718952212</v>
      </c>
      <c r="D10" s="19">
        <f t="shared" si="3"/>
        <v>1.1408289987710845</v>
      </c>
      <c r="E10" s="20">
        <f t="shared" si="0"/>
        <v>14.091021527267273</v>
      </c>
      <c r="F10" s="11">
        <v>181378</v>
      </c>
      <c r="G10" s="21">
        <f t="shared" si="1"/>
        <v>9471.6580645088743</v>
      </c>
      <c r="H10" s="21">
        <f t="shared" si="2"/>
        <v>8301.8435085579349</v>
      </c>
      <c r="I10" s="19">
        <f t="shared" si="4"/>
        <v>-5.8063823662521941E-2</v>
      </c>
    </row>
    <row r="11" spans="1:9" s="12" customFormat="1" ht="10.199999999999999" customHeight="1">
      <c r="A11" s="10">
        <v>2004</v>
      </c>
      <c r="B11" s="11">
        <v>1957751.2129625666</v>
      </c>
      <c r="C11" s="11">
        <v>1816903.7317373371</v>
      </c>
      <c r="D11" s="19">
        <f t="shared" si="3"/>
        <v>5.7599646368599906</v>
      </c>
      <c r="E11" s="20">
        <f t="shared" si="0"/>
        <v>7.7520607594630349</v>
      </c>
      <c r="F11" s="11">
        <v>183470</v>
      </c>
      <c r="G11" s="21">
        <f t="shared" si="1"/>
        <v>10670.68846657528</v>
      </c>
      <c r="H11" s="21">
        <f t="shared" si="2"/>
        <v>9903.0017536236828</v>
      </c>
      <c r="I11" s="19">
        <f t="shared" si="4"/>
        <v>4.5540462522722436</v>
      </c>
    </row>
    <row r="12" spans="1:9" s="12" customFormat="1" ht="10.199999999999999" customHeight="1">
      <c r="A12" s="10">
        <v>2005</v>
      </c>
      <c r="B12" s="11">
        <v>2170584.503422142</v>
      </c>
      <c r="C12" s="11">
        <v>2020440.9922502143</v>
      </c>
      <c r="D12" s="19">
        <f t="shared" si="3"/>
        <v>3.2021320621624056</v>
      </c>
      <c r="E12" s="20">
        <f t="shared" si="0"/>
        <v>7.4312247547853048</v>
      </c>
      <c r="F12" s="11">
        <v>185518</v>
      </c>
      <c r="G12" s="21">
        <f t="shared" si="1"/>
        <v>11700.12884691589</v>
      </c>
      <c r="H12" s="21">
        <f t="shared" si="2"/>
        <v>10890.80839729953</v>
      </c>
      <c r="I12" s="19">
        <f t="shared" si="4"/>
        <v>2.0628465671521639</v>
      </c>
    </row>
    <row r="13" spans="1:9" s="12" customFormat="1" ht="10.199999999999999" customHeight="1">
      <c r="A13" s="10">
        <v>2006</v>
      </c>
      <c r="B13" s="11">
        <v>2409449.9220720553</v>
      </c>
      <c r="C13" s="11">
        <v>2256582.8163669193</v>
      </c>
      <c r="D13" s="19">
        <f t="shared" si="3"/>
        <v>3.961988708994852</v>
      </c>
      <c r="E13" s="20">
        <f t="shared" si="0"/>
        <v>6.7742741190970719</v>
      </c>
      <c r="F13" s="11">
        <v>187535</v>
      </c>
      <c r="G13" s="21">
        <f t="shared" si="1"/>
        <v>12848.001290810011</v>
      </c>
      <c r="H13" s="21">
        <f t="shared" si="2"/>
        <v>12032.862219675897</v>
      </c>
      <c r="I13" s="19">
        <f t="shared" si="4"/>
        <v>2.8438436628645718</v>
      </c>
    </row>
    <row r="14" spans="1:9" s="12" customFormat="1" ht="10.199999999999999" customHeight="1">
      <c r="A14" s="10">
        <v>2007</v>
      </c>
      <c r="B14" s="11">
        <v>2720262.9378383174</v>
      </c>
      <c r="C14" s="11">
        <v>2555700.4146902794</v>
      </c>
      <c r="D14" s="19">
        <f t="shared" si="3"/>
        <v>6.0698706073315236</v>
      </c>
      <c r="E14" s="20">
        <f t="shared" si="0"/>
        <v>6.4390380892112944</v>
      </c>
      <c r="F14" s="11">
        <v>189459</v>
      </c>
      <c r="G14" s="21">
        <f t="shared" si="1"/>
        <v>14358.056032378074</v>
      </c>
      <c r="H14" s="21">
        <f t="shared" si="2"/>
        <v>13489.464288792191</v>
      </c>
      <c r="I14" s="19">
        <f t="shared" si="4"/>
        <v>4.9927065188031179</v>
      </c>
    </row>
    <row r="15" spans="1:9" s="12" customFormat="1" ht="10.199999999999999" customHeight="1">
      <c r="A15" s="10">
        <v>2008</v>
      </c>
      <c r="B15" s="11">
        <v>3109803.0890462874</v>
      </c>
      <c r="C15" s="11">
        <v>2858838.4485945702</v>
      </c>
      <c r="D15" s="19">
        <f t="shared" si="3"/>
        <v>5.0941954481199332</v>
      </c>
      <c r="E15" s="20">
        <f t="shared" si="0"/>
        <v>8.7785527221761583</v>
      </c>
      <c r="F15" s="11">
        <v>191335</v>
      </c>
      <c r="G15" s="21">
        <f t="shared" si="1"/>
        <v>16253.184671107154</v>
      </c>
      <c r="H15" s="21">
        <f t="shared" si="2"/>
        <v>14941.534212739803</v>
      </c>
      <c r="I15" s="19">
        <f t="shared" si="4"/>
        <v>4.0637686539595705</v>
      </c>
    </row>
    <row r="16" spans="1:9" s="12" customFormat="1" ht="10.199999999999999" customHeight="1">
      <c r="A16" s="10">
        <v>2009</v>
      </c>
      <c r="B16" s="11">
        <v>3333039.3554224167</v>
      </c>
      <c r="C16" s="11">
        <v>3105890.583490863</v>
      </c>
      <c r="D16" s="19">
        <f t="shared" ref="D16:D21" si="5">(C16/B15*100)-100</f>
        <v>-0.12581200299162276</v>
      </c>
      <c r="E16" s="20">
        <f t="shared" ref="E16:E21" si="6">(B16/C16*100)-100</f>
        <v>7.3134827459456062</v>
      </c>
      <c r="F16" s="11">
        <v>193174</v>
      </c>
      <c r="G16" s="21">
        <f t="shared" si="1"/>
        <v>17254.078475480223</v>
      </c>
      <c r="H16" s="21">
        <f t="shared" si="2"/>
        <v>16078.20195000809</v>
      </c>
      <c r="I16" s="19">
        <f t="shared" si="4"/>
        <v>-1.0766057522875911</v>
      </c>
    </row>
    <row r="17" spans="1:9" s="12" customFormat="1" ht="10.199999999999999" customHeight="1">
      <c r="A17" s="10">
        <v>2010</v>
      </c>
      <c r="B17" s="11">
        <v>3885847</v>
      </c>
      <c r="C17" s="11">
        <v>3583958.0847054818</v>
      </c>
      <c r="D17" s="19">
        <f t="shared" si="5"/>
        <v>7.5282258181216264</v>
      </c>
      <c r="E17" s="20">
        <f t="shared" si="6"/>
        <v>8.4233383359818532</v>
      </c>
      <c r="F17" s="11">
        <v>194749</v>
      </c>
      <c r="G17" s="21">
        <f t="shared" ref="G17:G22" si="7">B17/F17*1000</f>
        <v>19953.103738658476</v>
      </c>
      <c r="H17" s="21">
        <f t="shared" ref="H17:H22" si="8">C17/F17*1000</f>
        <v>18402.96014205712</v>
      </c>
      <c r="I17" s="19">
        <f t="shared" ref="I17:I22" si="9">(H17/G16*100)-100</f>
        <v>6.6586092569914683</v>
      </c>
    </row>
    <row r="18" spans="1:9" s="12" customFormat="1" ht="10.199999999999999" customHeight="1">
      <c r="A18" s="10">
        <v>2011</v>
      </c>
      <c r="B18" s="11">
        <v>4376382</v>
      </c>
      <c r="C18" s="11">
        <v>4040287</v>
      </c>
      <c r="D18" s="19">
        <f t="shared" si="5"/>
        <v>3.9744230794470212</v>
      </c>
      <c r="E18" s="20">
        <f t="shared" si="6"/>
        <v>8.3185922188201005</v>
      </c>
      <c r="F18" s="11">
        <v>196159</v>
      </c>
      <c r="G18" s="21">
        <f t="shared" si="7"/>
        <v>22310.380864502775</v>
      </c>
      <c r="H18" s="21">
        <f t="shared" si="8"/>
        <v>20597.000392538706</v>
      </c>
      <c r="I18" s="19">
        <f t="shared" si="9"/>
        <v>3.2270500986405466</v>
      </c>
    </row>
    <row r="19" spans="1:9" s="12" customFormat="1" ht="10.199999999999999" customHeight="1">
      <c r="A19" s="10">
        <v>2012</v>
      </c>
      <c r="B19" s="11">
        <v>4814760</v>
      </c>
      <c r="C19" s="11">
        <v>4460460</v>
      </c>
      <c r="D19" s="19">
        <f t="shared" si="5"/>
        <v>1.9211759850945356</v>
      </c>
      <c r="E19" s="20">
        <f t="shared" si="6"/>
        <v>7.9431269420642678</v>
      </c>
      <c r="F19" s="11">
        <v>197671</v>
      </c>
      <c r="G19" s="21">
        <f t="shared" si="7"/>
        <v>24357.44241694533</v>
      </c>
      <c r="H19" s="21">
        <f t="shared" si="8"/>
        <v>22565.070242979495</v>
      </c>
      <c r="I19" s="19">
        <f t="shared" si="9"/>
        <v>1.141573422809401</v>
      </c>
    </row>
    <row r="20" spans="1:9" s="12" customFormat="1" ht="10.199999999999999" customHeight="1">
      <c r="A20" s="10">
        <v>2013</v>
      </c>
      <c r="B20" s="11">
        <v>5331619</v>
      </c>
      <c r="C20" s="11">
        <v>4959435</v>
      </c>
      <c r="D20" s="19">
        <f t="shared" si="5"/>
        <v>3.0048226702888599</v>
      </c>
      <c r="E20" s="20">
        <f t="shared" si="6"/>
        <v>7.504564532048505</v>
      </c>
      <c r="F20" s="11">
        <v>199227</v>
      </c>
      <c r="G20" s="21">
        <f t="shared" si="7"/>
        <v>26761.528306906192</v>
      </c>
      <c r="H20" s="21">
        <f t="shared" si="8"/>
        <v>24893.387944405127</v>
      </c>
      <c r="I20" s="19">
        <f t="shared" si="9"/>
        <v>2.2003358081920084</v>
      </c>
    </row>
    <row r="21" spans="1:9" s="12" customFormat="1" ht="10.199999999999999" customHeight="1">
      <c r="A21" s="10">
        <v>2014</v>
      </c>
      <c r="B21" s="11">
        <v>5778953</v>
      </c>
      <c r="C21" s="11">
        <v>5358488</v>
      </c>
      <c r="D21" s="19">
        <f t="shared" si="5"/>
        <v>0.50395574027326973</v>
      </c>
      <c r="E21" s="20">
        <f t="shared" si="6"/>
        <v>7.846709743494813</v>
      </c>
      <c r="F21" s="11">
        <v>200811</v>
      </c>
      <c r="G21" s="21">
        <f t="shared" si="7"/>
        <v>28778.069926448254</v>
      </c>
      <c r="H21" s="21">
        <f t="shared" si="8"/>
        <v>26684.235425350205</v>
      </c>
      <c r="I21" s="19">
        <f t="shared" si="9"/>
        <v>-0.28882087999451755</v>
      </c>
    </row>
    <row r="22" spans="1:9" s="12" customFormat="1" ht="10.199999999999999" customHeight="1">
      <c r="A22" s="10">
        <v>2015</v>
      </c>
      <c r="B22" s="11">
        <v>5995787</v>
      </c>
      <c r="C22" s="11">
        <v>5574045</v>
      </c>
      <c r="D22" s="19">
        <f t="shared" ref="D22:D28" si="10">(C22/B21*100)-100</f>
        <v>-3.5457633934728392</v>
      </c>
      <c r="E22" s="20">
        <f t="shared" ref="E22:E28" si="11">(B22/C22*100)-100</f>
        <v>7.5661750129394392</v>
      </c>
      <c r="F22" s="11">
        <v>202404</v>
      </c>
      <c r="G22" s="21">
        <f t="shared" si="7"/>
        <v>29622.868125135865</v>
      </c>
      <c r="H22" s="21">
        <f t="shared" si="8"/>
        <v>27539.203770676468</v>
      </c>
      <c r="I22" s="19">
        <f t="shared" si="9"/>
        <v>-4.3048966068194119</v>
      </c>
    </row>
    <row r="23" spans="1:9" s="12" customFormat="1" ht="10.199999999999999" customHeight="1">
      <c r="A23" s="10">
        <v>2016</v>
      </c>
      <c r="B23" s="11">
        <v>6269328</v>
      </c>
      <c r="C23" s="11">
        <v>5799370</v>
      </c>
      <c r="D23" s="19">
        <f t="shared" si="10"/>
        <v>-3.2759169063210578</v>
      </c>
      <c r="E23" s="20">
        <f t="shared" si="11"/>
        <v>8.1036043570249916</v>
      </c>
      <c r="F23" s="11">
        <v>203872</v>
      </c>
      <c r="G23" s="21">
        <f t="shared" ref="G23:G28" si="12">B23/F23*1000</f>
        <v>30751.294930152253</v>
      </c>
      <c r="H23" s="21">
        <f t="shared" ref="H23:H28" si="13">C23/F23*1000</f>
        <v>28446.132867681685</v>
      </c>
      <c r="I23" s="19">
        <f t="shared" ref="I23:I28" si="14">(H23/G22*100)-100</f>
        <v>-3.9723879959337438</v>
      </c>
    </row>
    <row r="24" spans="1:9" s="12" customFormat="1" ht="10.199999999999999" customHeight="1">
      <c r="A24" s="10">
        <v>2017</v>
      </c>
      <c r="B24" s="11">
        <v>6585479</v>
      </c>
      <c r="C24" s="11">
        <v>6352263</v>
      </c>
      <c r="D24" s="19">
        <f t="shared" si="10"/>
        <v>1.322869053908164</v>
      </c>
      <c r="E24" s="20">
        <f t="shared" si="11"/>
        <v>3.6713845128893468</v>
      </c>
      <c r="F24" s="11">
        <v>205212</v>
      </c>
      <c r="G24" s="21">
        <f t="shared" si="12"/>
        <v>32091.10091027815</v>
      </c>
      <c r="H24" s="21">
        <f t="shared" si="13"/>
        <v>30954.637155721888</v>
      </c>
      <c r="I24" s="19">
        <f t="shared" si="14"/>
        <v>0.66124768414306345</v>
      </c>
    </row>
    <row r="25" spans="1:9" s="12" customFormat="1" ht="10.199999999999999" customHeight="1">
      <c r="A25" s="10">
        <v>2018</v>
      </c>
      <c r="B25" s="11">
        <v>7004141</v>
      </c>
      <c r="C25" s="11">
        <v>6702942</v>
      </c>
      <c r="D25" s="19">
        <f t="shared" si="10"/>
        <v>1.7836667613699859</v>
      </c>
      <c r="E25" s="20">
        <f t="shared" si="11"/>
        <v>4.4935343316412286</v>
      </c>
      <c r="F25" s="11">
        <v>206529</v>
      </c>
      <c r="G25" s="21">
        <f t="shared" si="12"/>
        <v>33913.59566937331</v>
      </c>
      <c r="H25" s="21">
        <f t="shared" si="13"/>
        <v>32455.209679996515</v>
      </c>
      <c r="I25" s="19">
        <f t="shared" si="14"/>
        <v>1.1346097808746265</v>
      </c>
    </row>
    <row r="26" spans="1:9" s="12" customFormat="1" ht="10.199999999999999" customHeight="1">
      <c r="A26" s="10">
        <v>2019</v>
      </c>
      <c r="B26" s="11">
        <v>7389131</v>
      </c>
      <c r="C26" s="11">
        <v>7089646</v>
      </c>
      <c r="D26" s="19">
        <f t="shared" si="10"/>
        <v>1.2207778227194552</v>
      </c>
      <c r="E26" s="20">
        <f t="shared" si="11"/>
        <v>4.2242588699068904</v>
      </c>
      <c r="F26" s="11">
        <v>207900</v>
      </c>
      <c r="G26" s="21">
        <f t="shared" si="12"/>
        <v>35541.755651755651</v>
      </c>
      <c r="H26" s="21">
        <f t="shared" si="13"/>
        <v>34101.231361231366</v>
      </c>
      <c r="I26" s="19">
        <f t="shared" si="14"/>
        <v>0.55327572365766287</v>
      </c>
    </row>
    <row r="27" spans="1:9" s="12" customFormat="1" ht="10.199999999999999" customHeight="1">
      <c r="A27" s="10">
        <v>2020</v>
      </c>
      <c r="B27" s="11">
        <v>7609597</v>
      </c>
      <c r="C27" s="11">
        <v>7147007</v>
      </c>
      <c r="D27" s="19">
        <f t="shared" si="10"/>
        <v>-3.2767587961290729</v>
      </c>
      <c r="E27" s="20">
        <f>(B27/C27*100)-100</f>
        <v>6.4724996071782215</v>
      </c>
      <c r="F27" s="11">
        <v>209165</v>
      </c>
      <c r="G27" s="21">
        <f t="shared" si="12"/>
        <v>36380.833313412855</v>
      </c>
      <c r="H27" s="21">
        <f t="shared" si="13"/>
        <v>34169.230033705448</v>
      </c>
      <c r="I27" s="19">
        <f t="shared" si="14"/>
        <v>-3.861727123157479</v>
      </c>
    </row>
    <row r="28" spans="1:9" s="12" customFormat="1" ht="10.199999999999999" customHeight="1">
      <c r="A28" s="10">
        <v>2021</v>
      </c>
      <c r="B28" s="11">
        <v>9012142</v>
      </c>
      <c r="C28" s="11">
        <v>7972012</v>
      </c>
      <c r="D28" s="19">
        <f t="shared" si="10"/>
        <v>4.7626043797063033</v>
      </c>
      <c r="E28" s="20">
        <f t="shared" si="11"/>
        <v>13.047270877163754</v>
      </c>
      <c r="F28" s="11">
        <v>210104</v>
      </c>
      <c r="G28" s="21">
        <f t="shared" si="12"/>
        <v>42893.719300917641</v>
      </c>
      <c r="H28" s="21">
        <f t="shared" si="13"/>
        <v>37943.171001028066</v>
      </c>
      <c r="I28" s="19">
        <f t="shared" si="14"/>
        <v>4.2943977510246043</v>
      </c>
    </row>
    <row r="29" spans="1:9" s="12" customFormat="1" ht="10.199999999999999" customHeight="1">
      <c r="A29" s="10">
        <v>2022</v>
      </c>
      <c r="B29" s="11">
        <v>10079676.700999996</v>
      </c>
      <c r="C29" s="11">
        <v>9284010.7450000048</v>
      </c>
      <c r="D29" s="19">
        <f>(C29/B28*100)-100</f>
        <v>3.0166939779688846</v>
      </c>
      <c r="E29" s="20">
        <f>(B29/C29*100)-100</f>
        <v>8.5702825842646178</v>
      </c>
      <c r="F29" s="11">
        <v>210863</v>
      </c>
      <c r="G29" s="21">
        <f>B29/F29*1000</f>
        <v>47802.016954136081</v>
      </c>
      <c r="H29" s="21">
        <f>C29/F29*1000</f>
        <v>44028.638239046231</v>
      </c>
      <c r="I29" s="19">
        <f>(H29/G28*100)-100</f>
        <v>2.6458860565731186</v>
      </c>
    </row>
    <row r="30" spans="1:9" s="12" customFormat="1" ht="10.199999999999999" customHeight="1">
      <c r="A30" s="10">
        <v>2023</v>
      </c>
      <c r="B30" s="11">
        <v>10943344.667905981</v>
      </c>
      <c r="C30" s="11">
        <v>10406425.305833045</v>
      </c>
      <c r="D30" s="19">
        <f>(C30/B29*100)-100</f>
        <v>3.2416575900756186</v>
      </c>
      <c r="E30" s="20">
        <f>(B30/C30*100)-100</f>
        <v>5.1594985433853111</v>
      </c>
      <c r="F30" s="11">
        <v>211695</v>
      </c>
      <c r="G30" s="21">
        <f>B30/F30*1000</f>
        <v>51693.9212919813</v>
      </c>
      <c r="H30" s="21">
        <f>C30/F30*1000</f>
        <v>49157.63388758849</v>
      </c>
      <c r="I30" s="19">
        <f>(H30/G29*100)-100</f>
        <v>2.8358990265056434</v>
      </c>
    </row>
    <row r="31" spans="1:9" s="12" customFormat="1" ht="11.25" customHeight="1">
      <c r="A31" s="13"/>
      <c r="B31" s="14"/>
      <c r="C31" s="14"/>
      <c r="D31" s="15"/>
      <c r="E31" s="15"/>
      <c r="F31" s="14"/>
      <c r="G31" s="16"/>
      <c r="H31" s="15"/>
      <c r="I31" s="15"/>
    </row>
    <row r="32" spans="1:9" s="12" customFormat="1" ht="13.2" customHeight="1">
      <c r="A32" s="17" t="s">
        <v>10</v>
      </c>
      <c r="I32" s="23"/>
    </row>
    <row r="33" spans="1:9" s="8" customFormat="1" ht="10.199999999999999" customHeight="1">
      <c r="A33" s="8" t="s">
        <v>12</v>
      </c>
      <c r="B33" s="18"/>
      <c r="C33" s="18"/>
      <c r="D33" s="18"/>
      <c r="E33" s="18"/>
      <c r="I33" s="24"/>
    </row>
  </sheetData>
  <mergeCells count="9">
    <mergeCell ref="A4:A6"/>
    <mergeCell ref="F4:F6"/>
    <mergeCell ref="B5:C5"/>
    <mergeCell ref="B4:E4"/>
    <mergeCell ref="G4:I4"/>
    <mergeCell ref="E5:E6"/>
    <mergeCell ref="G5:H5"/>
    <mergeCell ref="I5:I6"/>
    <mergeCell ref="D5:D6"/>
  </mergeCells>
  <printOptions horizontalCentered="1"/>
  <pageMargins left="0.59055118110236227" right="0.59055118110236227" top="1.1811023622047245" bottom="1.1811023622047245" header="0.51181102362204722" footer="0.51181102362204722"/>
  <pageSetup paperSize="9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DPE/DECNA</dc:creator>
  <cp:lastModifiedBy>Leandro Bernardo Rodrigues</cp:lastModifiedBy>
  <cp:lastPrinted>2016-09-29T17:08:36Z</cp:lastPrinted>
  <dcterms:created xsi:type="dcterms:W3CDTF">1997-11-18T18:58:25Z</dcterms:created>
  <dcterms:modified xsi:type="dcterms:W3CDTF">2026-02-17T00:19:15Z</dcterms:modified>
</cp:coreProperties>
</file>